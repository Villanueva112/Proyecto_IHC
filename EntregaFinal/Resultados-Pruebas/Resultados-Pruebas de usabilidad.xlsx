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de Resultados - Cuestion" sheetId="1" r:id="rId5"/>
    <sheet state="visible" name="Bitácora de Observación y Métri" sheetId="2" r:id="rId6"/>
  </sheets>
  <definedNames/>
  <calcPr/>
</workbook>
</file>

<file path=xl/sharedStrings.xml><?xml version="1.0" encoding="utf-8"?>
<sst xmlns="http://schemas.openxmlformats.org/spreadsheetml/2006/main" count="534" uniqueCount="194">
  <si>
    <t>ID Participante</t>
  </si>
  <si>
    <t>Fecha</t>
  </si>
  <si>
    <t>Evaluador</t>
  </si>
  <si>
    <t>Edad</t>
  </si>
  <si>
    <t>Género</t>
  </si>
  <si>
    <t>Ocupación</t>
  </si>
  <si>
    <t>Nivel Educativo</t>
  </si>
  <si>
    <t>P1_Familiaridad_Traducción (1-5)</t>
  </si>
  <si>
    <t>P2_Frecuencia_Uso_Cámara (1-5)</t>
  </si>
  <si>
    <t>P3_Primera_Acción_Comunicación</t>
  </si>
  <si>
    <t>P4_Nivel_Conocimiento_LSM</t>
  </si>
  <si>
    <t>P5_Habilidad_Nuevas_Apps (1-5)</t>
  </si>
  <si>
    <t>P6_Condición_Especial</t>
  </si>
  <si>
    <t>P6_Especificación_Condición</t>
  </si>
  <si>
    <t>SUS_1_Uso_Frecuente</t>
  </si>
  <si>
    <t>SUS_2_Complicada</t>
  </si>
  <si>
    <t>SUS_3_Fácil_Uso</t>
  </si>
  <si>
    <t>SUS_4_Necesita_Ayuda</t>
  </si>
  <si>
    <t>SUS_5_Fácil_Traducción_LSM</t>
  </si>
  <si>
    <t>SUS_6_Botones_Confusos</t>
  </si>
  <si>
    <t>SUS_7_Aprendizaje_Rápido</t>
  </si>
  <si>
    <t>SUS_8_Dificultad_Navegación</t>
  </si>
  <si>
    <t>SUS_9_Seguro_Uso</t>
  </si>
  <si>
    <t>SUS_10_Aprendizaje_Previo</t>
  </si>
  <si>
    <t>Puntaje_SUS_Calculado</t>
  </si>
  <si>
    <t>Karen</t>
  </si>
  <si>
    <t>Femenino</t>
  </si>
  <si>
    <t>Asesor académico</t>
  </si>
  <si>
    <t>Bachillerato/Preparatoria</t>
  </si>
  <si>
    <t>Buscar una app traductora</t>
  </si>
  <si>
    <t>Básico (saludos, abecedario)</t>
  </si>
  <si>
    <t>No</t>
  </si>
  <si>
    <t>N/A</t>
  </si>
  <si>
    <t>Masculino</t>
  </si>
  <si>
    <t>Jubilado</t>
  </si>
  <si>
    <t>Licenciatura</t>
  </si>
  <si>
    <t>Intentar gestos naturales</t>
  </si>
  <si>
    <t>Ninguno</t>
  </si>
  <si>
    <t>Sí</t>
  </si>
  <si>
    <t>Astigmatismo</t>
  </si>
  <si>
    <t>Comerciante</t>
  </si>
  <si>
    <t>Secundaria</t>
  </si>
  <si>
    <t>Mauricio</t>
  </si>
  <si>
    <t>Estudiante de Ing. Biomédico</t>
  </si>
  <si>
    <t>Estudiante</t>
  </si>
  <si>
    <t>Promedio SUS</t>
  </si>
  <si>
    <t>Desviación estándar SUS</t>
  </si>
  <si>
    <t>Min. SUS</t>
  </si>
  <si>
    <t>Máx. SUS</t>
  </si>
  <si>
    <t>P1: ¿Qué tan familiarizado está con el uso de herramientas de traducción (ej. Google Translate)?</t>
  </si>
  <si>
    <t>P2: ¿Con qué frecuencia utiliza aplicaciones que requieren permisos de cámara (WhatsApp, filtros, videollamadas)?</t>
  </si>
  <si>
    <t>P3: Cuando no logra comunicarse con otra persona, ¿qué suele hacer primero?</t>
  </si>
  <si>
    <t>P4: Nivel de conocimiento de Lengua de Señas Mexicana (LSM)</t>
  </si>
  <si>
    <t xml:space="preserve">P5: ¿Cómo calificaría su habilidad general para usar nuevas aplicaciones </t>
  </si>
  <si>
    <t xml:space="preserve">P6: ¿Tiene alguna condición visual (ej. daltonismo) o motriz que le dificulte interactuar con pantallas pequeñas o distinguir colores? </t>
  </si>
  <si>
    <t>E1_BN</t>
  </si>
  <si>
    <t>E1_EN</t>
  </si>
  <si>
    <t>E1_EC</t>
  </si>
  <si>
    <t>E1_DU</t>
  </si>
  <si>
    <t>E1_FR</t>
  </si>
  <si>
    <t>E1_AY</t>
  </si>
  <si>
    <t>E1_ThinkAloud</t>
  </si>
  <si>
    <t>E1_Notas</t>
  </si>
  <si>
    <t>E2_BN</t>
  </si>
  <si>
    <t>E2_EN</t>
  </si>
  <si>
    <t>E2_EC</t>
  </si>
  <si>
    <t>E2_DU</t>
  </si>
  <si>
    <t>E2_FR</t>
  </si>
  <si>
    <t>E2_AY</t>
  </si>
  <si>
    <t>E2_ThinkAloud</t>
  </si>
  <si>
    <t>E2_Notas</t>
  </si>
  <si>
    <t>E3_BN</t>
  </si>
  <si>
    <t>E3_EN</t>
  </si>
  <si>
    <t>E3_EC</t>
  </si>
  <si>
    <t>E3_DU</t>
  </si>
  <si>
    <t>E3_FR</t>
  </si>
  <si>
    <t>E3_AY</t>
  </si>
  <si>
    <t>E3_ThinkAloud</t>
  </si>
  <si>
    <t>E3_Notas</t>
  </si>
  <si>
    <t>E4_BN</t>
  </si>
  <si>
    <t>E4_EN</t>
  </si>
  <si>
    <t>E4_EC</t>
  </si>
  <si>
    <t>E4_DU</t>
  </si>
  <si>
    <t>E4_FR</t>
  </si>
  <si>
    <t>E4_AY</t>
  </si>
  <si>
    <t>E4_ThinkAloud</t>
  </si>
  <si>
    <t>E4_Notas</t>
  </si>
  <si>
    <t>E5_BN</t>
  </si>
  <si>
    <t>E5_EN</t>
  </si>
  <si>
    <t>E5_EC</t>
  </si>
  <si>
    <t>E5_DU</t>
  </si>
  <si>
    <t>E5_FR</t>
  </si>
  <si>
    <t>E5_AY</t>
  </si>
  <si>
    <t>E5_ThinkAloud</t>
  </si>
  <si>
    <t>E5_Notas</t>
  </si>
  <si>
    <t>E6_BN</t>
  </si>
  <si>
    <t>E6_EN</t>
  </si>
  <si>
    <t>E6_EC</t>
  </si>
  <si>
    <t>E6_DU</t>
  </si>
  <si>
    <t>E6_FR</t>
  </si>
  <si>
    <t>E6_AY</t>
  </si>
  <si>
    <t>E6_ThinkAloud</t>
  </si>
  <si>
    <t>E6_Notas</t>
  </si>
  <si>
    <t>E7_BN</t>
  </si>
  <si>
    <t>E7_EN</t>
  </si>
  <si>
    <t>E7_EC</t>
  </si>
  <si>
    <t>E7_DU</t>
  </si>
  <si>
    <t>E7_FR</t>
  </si>
  <si>
    <t>E7_AY</t>
  </si>
  <si>
    <t>E7_ThinkAloud</t>
  </si>
  <si>
    <t>E7_Notas</t>
  </si>
  <si>
    <t>Total_Tiempo (mm:ss)</t>
  </si>
  <si>
    <t>Total_BN</t>
  </si>
  <si>
    <t>Total_EN</t>
  </si>
  <si>
    <t>Total_EC</t>
  </si>
  <si>
    <t>Total_DU</t>
  </si>
  <si>
    <t>Total_FR</t>
  </si>
  <si>
    <t>Total_AY</t>
  </si>
  <si>
    <t>Completo_Sin_Ayuda_Critica</t>
  </si>
  <si>
    <t>Tiempo_Total_Ejecucion_mm:ss</t>
  </si>
  <si>
    <t>Frustracion_Observable</t>
  </si>
  <si>
    <t>Desempeno_Tiempo</t>
  </si>
  <si>
    <t>Desempeno_EN</t>
  </si>
  <si>
    <t>Desempeno_BN</t>
  </si>
  <si>
    <t>Desempeno_AY</t>
  </si>
  <si>
    <t>Desempeno_EC</t>
  </si>
  <si>
    <t>Desempeno_DU</t>
  </si>
  <si>
    <t>Desempeno_FR</t>
  </si>
  <si>
    <t>Desempeno_Cumplimiento</t>
  </si>
  <si>
    <t>Observaciones_Generales</t>
  </si>
  <si>
    <t>S/C</t>
  </si>
  <si>
    <t>Avanzó rápido; ya conoce este tipo de pantallas</t>
  </si>
  <si>
    <t>Reconoció los íconos de grabación de inmediato</t>
  </si>
  <si>
    <t>¡Ooo! ¿Me va a convertir la respuesta a Lengua de Señas?" (Tono de sorpresa/entusiasmo positivo).</t>
  </si>
  <si>
    <t>Se notaba expectante; sabía qué esperar en el siguiente paso</t>
  </si>
  <si>
    <t>Asintió con la cabeza y sonrió; el video confirmó lo que esperaba</t>
  </si>
  <si>
    <t>Identificó el ícono de regresar al instante</t>
  </si>
  <si>
    <t>Excelente</t>
  </si>
  <si>
    <t>Sabía qué esperar de la app y confirmó con la cabeza (asintiendo y sonriendo) al ver el video</t>
  </si>
  <si>
    <t>Sabía dónde dar clic, pero se le notaba dudoso sobre el comportamiento del sistema</t>
  </si>
  <si>
    <t>No relacionó de forma inmediata el video con la respuesta en señas; se detuvo unos segundos, captó la idea y avanzó</t>
  </si>
  <si>
    <t>Aceptable</t>
  </si>
  <si>
    <t>Autónomo pero dudoso. Ubicó bien todo, aunque tardó unos segundos en procesar qué hacía el video</t>
  </si>
  <si>
    <t>"Mmm..." (Tono de interés y expectativa positiva)</t>
  </si>
  <si>
    <t>Mostró curiosidad por lo que seguía</t>
  </si>
  <si>
    <t>"¡Ah, mira!" (Tono de satisfacción y entusiasmo)</t>
  </si>
  <si>
    <t>Mostró satisfacción y entusiasmo con el video; sonrió al verlo</t>
  </si>
  <si>
    <t>Interfaz clara para él; reaccionó con entusiasmo al ver el video en señas</t>
  </si>
  <si>
    <t>"Ya es todo?"</t>
  </si>
  <si>
    <t>No comprendio la instrucción</t>
  </si>
  <si>
    <t>"ahh, tenía que ir alli"</t>
  </si>
  <si>
    <t>Avanzo rápido en las acciones, simplemente creyó que ya había acabado con el uso y tuvo que volver a realizar ciertos pasos</t>
  </si>
  <si>
    <t>reconoció los íconos de grabación de inmediato</t>
  </si>
  <si>
    <t xml:space="preserve">Le confundio un poco la instrucción y por eso se equivoco a la navegación </t>
  </si>
  <si>
    <t>Código</t>
  </si>
  <si>
    <t>Descripción</t>
  </si>
  <si>
    <t>Nivel</t>
  </si>
  <si>
    <t>Rango</t>
  </si>
  <si>
    <t>BN</t>
  </si>
  <si>
    <t>Botón no identificado o confuso</t>
  </si>
  <si>
    <t>Inigualable</t>
  </si>
  <si>
    <t>EN</t>
  </si>
  <si>
    <t>Error de navegación</t>
  </si>
  <si>
    <t>80 - 90</t>
  </si>
  <si>
    <t>EC</t>
  </si>
  <si>
    <t>Error crítico (requiere ayuda del evaluador)</t>
  </si>
  <si>
    <t>Muy Buena</t>
  </si>
  <si>
    <t>70 - 80</t>
  </si>
  <si>
    <t>DU</t>
  </si>
  <si>
    <t>Duda o vacilación</t>
  </si>
  <si>
    <t>Buena</t>
  </si>
  <si>
    <t>50 - 70</t>
  </si>
  <si>
    <t>FR</t>
  </si>
  <si>
    <t>Frustración observable</t>
  </si>
  <si>
    <t>Pobre</t>
  </si>
  <si>
    <t>25 - 50</t>
  </si>
  <si>
    <t>AY</t>
  </si>
  <si>
    <t>Solicitud de ayuda</t>
  </si>
  <si>
    <t>La Peor</t>
  </si>
  <si>
    <t>0 - 25</t>
  </si>
  <si>
    <t>E1</t>
  </si>
  <si>
    <t>Seleccionar “Traducción LSM → Español”</t>
  </si>
  <si>
    <t>E2</t>
  </si>
  <si>
    <t>Aceptar permisos de cámara</t>
  </si>
  <si>
    <t>E3</t>
  </si>
  <si>
    <t>Iniciar y detener grabación</t>
  </si>
  <si>
    <t>E4</t>
  </si>
  <si>
    <t>Responder en español (generación respuesta de español → LSM)</t>
  </si>
  <si>
    <t>E5</t>
  </si>
  <si>
    <t>Visualizar respuesta del avatar en LSM</t>
  </si>
  <si>
    <t>E6</t>
  </si>
  <si>
    <t>Regresar a la vista anterior y terminar traducción</t>
  </si>
  <si>
    <t>E7</t>
  </si>
  <si>
    <t>Regresar al menú principal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</si>
</sst>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&quot;Arial&quot;"/>
    </font>
    <font>
      <b/>
      <color rgb="FF000000"/>
      <name val="&quot;Arial&quot;"/>
    </font>
    <font>
      <color rgb="FF000000"/>
      <name val="&quot;Arial&quot;"/>
    </font>
    <font>
      <color theme="1"/>
      <name val="&quot;Arial&quot;"/>
    </font>
  </fonts>
  <fills count="3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1" numFmtId="20" xfId="0" applyAlignment="1" applyFont="1" applyNumberFormat="1">
      <alignment readingOrder="0"/>
    </xf>
    <xf borderId="0" fillId="0" fontId="3" numFmtId="0" xfId="0" applyAlignment="1" applyFont="1">
      <alignment horizontal="center" readingOrder="0" vertical="top"/>
    </xf>
    <xf borderId="0" fillId="0" fontId="3" numFmtId="0" xfId="0" applyAlignment="1" applyFont="1">
      <alignment horizontal="center" readingOrder="0"/>
    </xf>
    <xf borderId="0" fillId="2" fontId="4" numFmtId="0" xfId="0" applyAlignment="1" applyFill="1" applyFont="1">
      <alignment horizontal="center" readingOrder="0" vertical="top"/>
    </xf>
    <xf borderId="0" fillId="2" fontId="5" numFmtId="0" xfId="0" applyAlignment="1" applyFont="1">
      <alignment horizontal="center" readingOrder="0" vertical="top"/>
    </xf>
    <xf borderId="0" fillId="2" fontId="4" numFmtId="0" xfId="0" applyAlignment="1" applyFont="1">
      <alignment horizontal="center" readingOrder="0"/>
    </xf>
    <xf borderId="0" fillId="2" fontId="1" numFmtId="0" xfId="0" applyAlignment="1" applyFont="1">
      <alignment horizontal="center" readingOrder="0"/>
    </xf>
    <xf borderId="0" fillId="0" fontId="6" numFmtId="0" xfId="0" applyAlignment="1" applyFont="1">
      <alignment horizontal="center" readingOrder="0" vertical="top"/>
    </xf>
    <xf borderId="0" fillId="0" fontId="6" numFmtId="0" xfId="0" applyAlignment="1" applyFont="1">
      <alignment horizontal="center" readingOrder="0"/>
    </xf>
    <xf borderId="0" fillId="2" fontId="5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5.5"/>
    <col customWidth="1" min="7" max="7" width="19.88"/>
    <col customWidth="1" min="8" max="8" width="26.5"/>
    <col customWidth="1" min="9" max="9" width="30.13"/>
    <col customWidth="1" min="10" max="10" width="29.5"/>
    <col customWidth="1" min="11" max="11" width="26.13"/>
    <col customWidth="1" min="12" max="12" width="29.0"/>
    <col customWidth="1" min="13" max="13" width="20.0"/>
    <col customWidth="1" min="14" max="14" width="23.5"/>
    <col customWidth="1" min="15" max="15" width="19.38"/>
    <col customWidth="1" min="16" max="16" width="17.0"/>
    <col customWidth="1" min="17" max="17" width="16.0"/>
    <col customWidth="1" min="18" max="18" width="19.88"/>
    <col customWidth="1" min="19" max="19" width="25.0"/>
    <col customWidth="1" min="20" max="20" width="21.63"/>
    <col customWidth="1" min="21" max="21" width="22.88"/>
    <col customWidth="1" min="22" max="22" width="25.88"/>
    <col customWidth="1" min="23" max="23" width="16.88"/>
    <col customWidth="1" min="24" max="24" width="25.75"/>
    <col customWidth="1" min="25" max="25" width="2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1">
        <v>1.0</v>
      </c>
      <c r="B2" s="2">
        <v>46160.0</v>
      </c>
      <c r="C2" s="1" t="s">
        <v>25</v>
      </c>
      <c r="D2" s="1">
        <v>50.0</v>
      </c>
      <c r="E2" s="1" t="s">
        <v>26</v>
      </c>
      <c r="F2" s="1" t="s">
        <v>27</v>
      </c>
      <c r="G2" s="1" t="s">
        <v>28</v>
      </c>
      <c r="H2" s="1">
        <v>3.0</v>
      </c>
      <c r="I2" s="1">
        <v>5.0</v>
      </c>
      <c r="J2" s="1" t="s">
        <v>29</v>
      </c>
      <c r="K2" s="1" t="s">
        <v>30</v>
      </c>
      <c r="L2" s="1">
        <v>4.0</v>
      </c>
      <c r="M2" s="1" t="s">
        <v>31</v>
      </c>
      <c r="N2" s="1" t="s">
        <v>32</v>
      </c>
      <c r="O2" s="1">
        <v>5.0</v>
      </c>
      <c r="P2" s="1">
        <v>1.0</v>
      </c>
      <c r="Q2" s="1">
        <v>5.0</v>
      </c>
      <c r="R2" s="1">
        <v>1.0</v>
      </c>
      <c r="S2" s="1">
        <v>5.0</v>
      </c>
      <c r="T2" s="1">
        <v>1.0</v>
      </c>
      <c r="U2" s="1">
        <v>5.0</v>
      </c>
      <c r="V2" s="1">
        <v>1.0</v>
      </c>
      <c r="W2" s="1">
        <v>5.0</v>
      </c>
      <c r="X2" s="1">
        <v>1.0</v>
      </c>
      <c r="Y2" s="3">
        <f t="shared" ref="Y2:Y6" si="1">((O2-1)+(5-P2)+(Q2-1)+(5-R2)+(S2-1)+(5-T2)+(U2-1)+(5-V2)+(W2-1)+(5-X2))*2.5</f>
        <v>100</v>
      </c>
    </row>
    <row r="3">
      <c r="A3" s="1">
        <v>2.0</v>
      </c>
      <c r="B3" s="2">
        <v>46158.0</v>
      </c>
      <c r="C3" s="1" t="s">
        <v>25</v>
      </c>
      <c r="D3" s="1">
        <v>53.0</v>
      </c>
      <c r="E3" s="1" t="s">
        <v>33</v>
      </c>
      <c r="F3" s="1" t="s">
        <v>34</v>
      </c>
      <c r="G3" s="1" t="s">
        <v>35</v>
      </c>
      <c r="H3" s="1">
        <v>4.0</v>
      </c>
      <c r="I3" s="1">
        <v>5.0</v>
      </c>
      <c r="J3" s="1" t="s">
        <v>36</v>
      </c>
      <c r="K3" s="1" t="s">
        <v>37</v>
      </c>
      <c r="L3" s="1">
        <v>4.0</v>
      </c>
      <c r="M3" s="1" t="s">
        <v>38</v>
      </c>
      <c r="N3" s="1" t="s">
        <v>39</v>
      </c>
      <c r="O3" s="1">
        <v>3.0</v>
      </c>
      <c r="P3" s="1">
        <v>4.0</v>
      </c>
      <c r="Q3" s="1">
        <v>4.0</v>
      </c>
      <c r="R3" s="1">
        <v>1.0</v>
      </c>
      <c r="S3" s="1">
        <v>4.0</v>
      </c>
      <c r="T3" s="1">
        <v>1.0</v>
      </c>
      <c r="U3" s="1">
        <v>2.0</v>
      </c>
      <c r="V3" s="1">
        <v>1.0</v>
      </c>
      <c r="W3" s="1">
        <v>4.0</v>
      </c>
      <c r="X3" s="1">
        <v>2.0</v>
      </c>
      <c r="Y3" s="3">
        <f t="shared" si="1"/>
        <v>70</v>
      </c>
    </row>
    <row r="4">
      <c r="A4" s="1">
        <v>3.0</v>
      </c>
      <c r="B4" s="2">
        <v>46158.0</v>
      </c>
      <c r="C4" s="1" t="s">
        <v>25</v>
      </c>
      <c r="D4" s="1">
        <v>44.0</v>
      </c>
      <c r="E4" s="1" t="s">
        <v>33</v>
      </c>
      <c r="F4" s="1" t="s">
        <v>40</v>
      </c>
      <c r="G4" s="1" t="s">
        <v>41</v>
      </c>
      <c r="H4" s="1">
        <v>3.0</v>
      </c>
      <c r="I4" s="1">
        <v>5.0</v>
      </c>
      <c r="J4" s="1" t="s">
        <v>36</v>
      </c>
      <c r="K4" s="1" t="s">
        <v>37</v>
      </c>
      <c r="L4" s="1">
        <v>3.0</v>
      </c>
      <c r="M4" s="1" t="s">
        <v>31</v>
      </c>
      <c r="N4" s="1" t="s">
        <v>32</v>
      </c>
      <c r="O4" s="1">
        <v>3.0</v>
      </c>
      <c r="P4" s="1">
        <v>2.0</v>
      </c>
      <c r="Q4" s="1">
        <v>5.0</v>
      </c>
      <c r="R4" s="1">
        <v>1.0</v>
      </c>
      <c r="S4" s="1">
        <v>5.0</v>
      </c>
      <c r="T4" s="1">
        <v>1.0</v>
      </c>
      <c r="U4" s="1">
        <v>5.0</v>
      </c>
      <c r="V4" s="1">
        <v>1.0</v>
      </c>
      <c r="W4" s="1">
        <v>5.0</v>
      </c>
      <c r="X4" s="1">
        <v>1.0</v>
      </c>
      <c r="Y4" s="3">
        <f t="shared" si="1"/>
        <v>92.5</v>
      </c>
    </row>
    <row r="5">
      <c r="A5" s="1">
        <v>4.0</v>
      </c>
      <c r="B5" s="2">
        <v>46161.0</v>
      </c>
      <c r="C5" s="1" t="s">
        <v>42</v>
      </c>
      <c r="D5" s="1">
        <v>20.0</v>
      </c>
      <c r="E5" s="1" t="s">
        <v>33</v>
      </c>
      <c r="F5" s="1" t="s">
        <v>43</v>
      </c>
      <c r="G5" s="1" t="s">
        <v>35</v>
      </c>
      <c r="H5" s="1">
        <v>3.0</v>
      </c>
      <c r="I5" s="1">
        <v>5.0</v>
      </c>
      <c r="J5" s="1" t="s">
        <v>29</v>
      </c>
      <c r="K5" s="1" t="s">
        <v>30</v>
      </c>
      <c r="L5" s="1">
        <v>4.0</v>
      </c>
      <c r="M5" s="1" t="s">
        <v>31</v>
      </c>
      <c r="N5" s="1" t="s">
        <v>32</v>
      </c>
      <c r="O5" s="1">
        <v>3.0</v>
      </c>
      <c r="P5" s="1">
        <v>2.0</v>
      </c>
      <c r="Q5" s="1">
        <v>3.0</v>
      </c>
      <c r="R5" s="1">
        <v>1.0</v>
      </c>
      <c r="S5" s="1">
        <v>3.0</v>
      </c>
      <c r="T5" s="1">
        <v>4.0</v>
      </c>
      <c r="U5" s="1">
        <v>4.0</v>
      </c>
      <c r="V5" s="1">
        <v>2.0</v>
      </c>
      <c r="W5" s="1">
        <v>4.0</v>
      </c>
      <c r="X5" s="1">
        <v>1.0</v>
      </c>
      <c r="Y5" s="3">
        <f t="shared" si="1"/>
        <v>67.5</v>
      </c>
    </row>
    <row r="6">
      <c r="A6" s="1">
        <v>5.0</v>
      </c>
      <c r="B6" s="2">
        <v>46161.0</v>
      </c>
      <c r="C6" s="1" t="s">
        <v>42</v>
      </c>
      <c r="D6" s="1">
        <v>22.0</v>
      </c>
      <c r="E6" s="1" t="s">
        <v>26</v>
      </c>
      <c r="F6" s="1" t="s">
        <v>44</v>
      </c>
      <c r="G6" s="1" t="s">
        <v>35</v>
      </c>
      <c r="H6" s="1">
        <v>4.0</v>
      </c>
      <c r="I6" s="1">
        <v>3.0</v>
      </c>
      <c r="J6" s="1" t="s">
        <v>29</v>
      </c>
      <c r="K6" s="1" t="s">
        <v>30</v>
      </c>
      <c r="L6" s="1">
        <v>3.0</v>
      </c>
      <c r="M6" s="1" t="s">
        <v>31</v>
      </c>
      <c r="N6" s="1" t="s">
        <v>32</v>
      </c>
      <c r="O6" s="1">
        <v>4.0</v>
      </c>
      <c r="P6" s="1">
        <v>1.0</v>
      </c>
      <c r="Q6" s="1">
        <v>4.0</v>
      </c>
      <c r="R6" s="1">
        <v>4.0</v>
      </c>
      <c r="S6" s="1">
        <v>4.0</v>
      </c>
      <c r="T6" s="1">
        <v>2.0</v>
      </c>
      <c r="U6" s="1">
        <v>5.0</v>
      </c>
      <c r="V6" s="1">
        <v>1.0</v>
      </c>
      <c r="W6" s="1">
        <v>5.0</v>
      </c>
      <c r="X6" s="1">
        <v>1.0</v>
      </c>
      <c r="Y6" s="3">
        <f t="shared" si="1"/>
        <v>82.5</v>
      </c>
    </row>
    <row r="8">
      <c r="X8" s="1" t="s">
        <v>45</v>
      </c>
      <c r="Y8" s="3">
        <f> AVERAGE(Y2:Y6)</f>
        <v>82.5</v>
      </c>
    </row>
    <row r="9">
      <c r="X9" s="1" t="s">
        <v>46</v>
      </c>
      <c r="Y9" s="3">
        <f>STDEV(Y2:Y6)</f>
        <v>14.0312152</v>
      </c>
    </row>
    <row r="10">
      <c r="X10" s="1" t="s">
        <v>47</v>
      </c>
      <c r="Y10" s="3">
        <f>MIN(Y2:Y6)</f>
        <v>67.5</v>
      </c>
    </row>
    <row r="11">
      <c r="X11" s="1" t="s">
        <v>48</v>
      </c>
      <c r="Y11" s="3">
        <f>MAX(Y2:Y6)</f>
        <v>100</v>
      </c>
    </row>
    <row r="12">
      <c r="A12" s="1" t="s">
        <v>49</v>
      </c>
    </row>
    <row r="13">
      <c r="A13" s="1" t="s">
        <v>50</v>
      </c>
    </row>
    <row r="14">
      <c r="A14" s="1" t="s">
        <v>51</v>
      </c>
    </row>
    <row r="15">
      <c r="A15" s="1" t="s">
        <v>52</v>
      </c>
    </row>
    <row r="16">
      <c r="A16" s="1" t="s">
        <v>53</v>
      </c>
    </row>
    <row r="17">
      <c r="A17" s="1" t="s">
        <v>54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35.13"/>
    <col customWidth="1" min="10" max="10" width="15.5"/>
    <col customWidth="1" min="11" max="11" width="17.63"/>
    <col customWidth="1" min="34" max="34" width="19.63"/>
    <col customWidth="1" min="59" max="59" width="15.13"/>
    <col customWidth="1" min="60" max="60" width="17.5"/>
    <col customWidth="1" min="67" max="67" width="23.5"/>
    <col customWidth="1" min="68" max="68" width="23.63"/>
    <col customWidth="1" min="69" max="69" width="20.13"/>
    <col customWidth="1" min="70" max="70" width="17.63"/>
    <col customWidth="1" min="71" max="71" width="14.63"/>
    <col customWidth="1" min="72" max="72" width="15.0"/>
    <col customWidth="1" min="73" max="73" width="14.38"/>
    <col customWidth="1" min="74" max="75" width="13.5"/>
    <col customWidth="1" min="76" max="76" width="13.75"/>
    <col customWidth="1" min="77" max="77" width="21.5"/>
    <col customWidth="1" min="78" max="78" width="20.13"/>
    <col customWidth="1" min="79" max="79" width="49.5"/>
  </cols>
  <sheetData>
    <row r="1">
      <c r="A1" s="4" t="s">
        <v>0</v>
      </c>
      <c r="B1" s="4" t="s">
        <v>1</v>
      </c>
      <c r="C1" s="4" t="s">
        <v>2</v>
      </c>
      <c r="D1" s="4" t="s">
        <v>55</v>
      </c>
      <c r="E1" s="4" t="s">
        <v>56</v>
      </c>
      <c r="F1" s="4" t="s">
        <v>57</v>
      </c>
      <c r="G1" s="4" t="s">
        <v>58</v>
      </c>
      <c r="H1" s="4" t="s">
        <v>59</v>
      </c>
      <c r="I1" s="4" t="s">
        <v>60</v>
      </c>
      <c r="J1" s="5" t="s">
        <v>61</v>
      </c>
      <c r="K1" s="4" t="s">
        <v>62</v>
      </c>
      <c r="L1" s="4" t="s">
        <v>63</v>
      </c>
      <c r="M1" s="4" t="s">
        <v>64</v>
      </c>
      <c r="N1" s="4" t="s">
        <v>65</v>
      </c>
      <c r="O1" s="4" t="s">
        <v>66</v>
      </c>
      <c r="P1" s="4" t="s">
        <v>67</v>
      </c>
      <c r="Q1" s="4" t="s">
        <v>68</v>
      </c>
      <c r="R1" s="4" t="s">
        <v>69</v>
      </c>
      <c r="S1" s="4" t="s">
        <v>70</v>
      </c>
      <c r="T1" s="4" t="s">
        <v>71</v>
      </c>
      <c r="U1" s="4" t="s">
        <v>72</v>
      </c>
      <c r="V1" s="4" t="s">
        <v>73</v>
      </c>
      <c r="W1" s="4" t="s">
        <v>74</v>
      </c>
      <c r="X1" s="4" t="s">
        <v>75</v>
      </c>
      <c r="Y1" s="4" t="s">
        <v>76</v>
      </c>
      <c r="Z1" s="4" t="s">
        <v>77</v>
      </c>
      <c r="AA1" s="4" t="s">
        <v>78</v>
      </c>
      <c r="AB1" s="4" t="s">
        <v>79</v>
      </c>
      <c r="AC1" s="4" t="s">
        <v>80</v>
      </c>
      <c r="AD1" s="4" t="s">
        <v>81</v>
      </c>
      <c r="AE1" s="4" t="s">
        <v>82</v>
      </c>
      <c r="AF1" s="4" t="s">
        <v>83</v>
      </c>
      <c r="AG1" s="4" t="s">
        <v>84</v>
      </c>
      <c r="AH1" s="4" t="s">
        <v>85</v>
      </c>
      <c r="AI1" s="4" t="s">
        <v>86</v>
      </c>
      <c r="AJ1" s="4" t="s">
        <v>87</v>
      </c>
      <c r="AK1" s="4" t="s">
        <v>88</v>
      </c>
      <c r="AL1" s="4" t="s">
        <v>89</v>
      </c>
      <c r="AM1" s="4" t="s">
        <v>90</v>
      </c>
      <c r="AN1" s="4" t="s">
        <v>91</v>
      </c>
      <c r="AO1" s="4" t="s">
        <v>92</v>
      </c>
      <c r="AP1" s="4" t="s">
        <v>93</v>
      </c>
      <c r="AQ1" s="4" t="s">
        <v>94</v>
      </c>
      <c r="AR1" s="4" t="s">
        <v>95</v>
      </c>
      <c r="AS1" s="4" t="s">
        <v>96</v>
      </c>
      <c r="AT1" s="4" t="s">
        <v>97</v>
      </c>
      <c r="AU1" s="4" t="s">
        <v>98</v>
      </c>
      <c r="AV1" s="4" t="s">
        <v>99</v>
      </c>
      <c r="AW1" s="4" t="s">
        <v>100</v>
      </c>
      <c r="AX1" s="4" t="s">
        <v>101</v>
      </c>
      <c r="AY1" s="4" t="s">
        <v>102</v>
      </c>
      <c r="AZ1" s="4" t="s">
        <v>103</v>
      </c>
      <c r="BA1" s="4" t="s">
        <v>104</v>
      </c>
      <c r="BB1" s="4" t="s">
        <v>105</v>
      </c>
      <c r="BC1" s="4" t="s">
        <v>106</v>
      </c>
      <c r="BD1" s="4" t="s">
        <v>107</v>
      </c>
      <c r="BE1" s="4" t="s">
        <v>108</v>
      </c>
      <c r="BF1" s="4" t="s">
        <v>109</v>
      </c>
      <c r="BG1" s="4" t="s">
        <v>110</v>
      </c>
      <c r="BH1" s="5" t="s">
        <v>111</v>
      </c>
      <c r="BI1" s="4" t="s">
        <v>112</v>
      </c>
      <c r="BJ1" s="4" t="s">
        <v>113</v>
      </c>
      <c r="BK1" s="4" t="s">
        <v>114</v>
      </c>
      <c r="BL1" s="4" t="s">
        <v>115</v>
      </c>
      <c r="BM1" s="4" t="s">
        <v>116</v>
      </c>
      <c r="BN1" s="4" t="s">
        <v>117</v>
      </c>
      <c r="BO1" s="5" t="s">
        <v>118</v>
      </c>
      <c r="BP1" s="5" t="s">
        <v>119</v>
      </c>
      <c r="BQ1" s="4" t="s">
        <v>120</v>
      </c>
      <c r="BR1" s="4" t="s">
        <v>121</v>
      </c>
      <c r="BS1" s="4" t="s">
        <v>122</v>
      </c>
      <c r="BT1" s="4" t="s">
        <v>123</v>
      </c>
      <c r="BU1" s="4" t="s">
        <v>124</v>
      </c>
      <c r="BV1" s="4" t="s">
        <v>125</v>
      </c>
      <c r="BW1" s="5" t="s">
        <v>126</v>
      </c>
      <c r="BX1" s="4" t="s">
        <v>127</v>
      </c>
      <c r="BY1" s="4" t="s">
        <v>128</v>
      </c>
      <c r="BZ1" s="4" t="s">
        <v>129</v>
      </c>
      <c r="CA1" s="4"/>
      <c r="CB1" s="4"/>
    </row>
    <row r="2">
      <c r="A2" s="1">
        <v>1.0</v>
      </c>
      <c r="B2" s="2">
        <v>46160.0</v>
      </c>
      <c r="C2" s="1" t="s">
        <v>25</v>
      </c>
      <c r="D2" s="1" t="s">
        <v>31</v>
      </c>
      <c r="E2" s="1" t="s">
        <v>31</v>
      </c>
      <c r="F2" s="1" t="s">
        <v>31</v>
      </c>
      <c r="G2" s="1" t="s">
        <v>31</v>
      </c>
      <c r="H2" s="1" t="s">
        <v>31</v>
      </c>
      <c r="I2" s="1" t="s">
        <v>31</v>
      </c>
      <c r="J2" s="1" t="s">
        <v>130</v>
      </c>
      <c r="K2" s="1" t="s">
        <v>130</v>
      </c>
      <c r="L2" s="1" t="s">
        <v>31</v>
      </c>
      <c r="M2" s="1" t="s">
        <v>31</v>
      </c>
      <c r="N2" s="1" t="s">
        <v>31</v>
      </c>
      <c r="O2" s="1" t="s">
        <v>31</v>
      </c>
      <c r="P2" s="1" t="s">
        <v>31</v>
      </c>
      <c r="Q2" s="1" t="s">
        <v>31</v>
      </c>
      <c r="R2" s="1" t="s">
        <v>130</v>
      </c>
      <c r="S2" s="1" t="s">
        <v>131</v>
      </c>
      <c r="T2" s="1" t="s">
        <v>31</v>
      </c>
      <c r="U2" s="1" t="s">
        <v>31</v>
      </c>
      <c r="V2" s="1" t="s">
        <v>31</v>
      </c>
      <c r="W2" s="1" t="s">
        <v>31</v>
      </c>
      <c r="X2" s="1" t="s">
        <v>31</v>
      </c>
      <c r="Y2" s="1" t="s">
        <v>31</v>
      </c>
      <c r="Z2" s="1" t="s">
        <v>130</v>
      </c>
      <c r="AA2" s="1" t="s">
        <v>132</v>
      </c>
      <c r="AB2" s="1" t="s">
        <v>31</v>
      </c>
      <c r="AC2" s="1" t="s">
        <v>31</v>
      </c>
      <c r="AD2" s="1" t="s">
        <v>31</v>
      </c>
      <c r="AE2" s="1" t="s">
        <v>31</v>
      </c>
      <c r="AF2" s="1" t="s">
        <v>31</v>
      </c>
      <c r="AG2" s="1" t="s">
        <v>31</v>
      </c>
      <c r="AH2" s="1" t="s">
        <v>133</v>
      </c>
      <c r="AI2" s="1" t="s">
        <v>134</v>
      </c>
      <c r="AJ2" s="1" t="s">
        <v>31</v>
      </c>
      <c r="AK2" s="1" t="s">
        <v>31</v>
      </c>
      <c r="AL2" s="1" t="s">
        <v>31</v>
      </c>
      <c r="AM2" s="1" t="s">
        <v>31</v>
      </c>
      <c r="AN2" s="1" t="s">
        <v>31</v>
      </c>
      <c r="AO2" s="1" t="s">
        <v>31</v>
      </c>
      <c r="AP2" s="1" t="s">
        <v>130</v>
      </c>
      <c r="AQ2" s="1" t="s">
        <v>135</v>
      </c>
      <c r="AR2" s="1" t="s">
        <v>31</v>
      </c>
      <c r="AS2" s="1" t="s">
        <v>31</v>
      </c>
      <c r="AT2" s="1" t="s">
        <v>31</v>
      </c>
      <c r="AU2" s="1" t="s">
        <v>31</v>
      </c>
      <c r="AV2" s="1" t="s">
        <v>31</v>
      </c>
      <c r="AW2" s="1" t="s">
        <v>31</v>
      </c>
      <c r="AX2" s="1" t="s">
        <v>130</v>
      </c>
      <c r="AY2" s="1" t="s">
        <v>136</v>
      </c>
      <c r="AZ2" s="1" t="s">
        <v>31</v>
      </c>
      <c r="BA2" s="1" t="s">
        <v>31</v>
      </c>
      <c r="BB2" s="1" t="s">
        <v>31</v>
      </c>
      <c r="BC2" s="1" t="s">
        <v>31</v>
      </c>
      <c r="BD2" s="1" t="s">
        <v>31</v>
      </c>
      <c r="BE2" s="1" t="s">
        <v>31</v>
      </c>
      <c r="BF2" s="1" t="s">
        <v>130</v>
      </c>
      <c r="BG2" s="1" t="s">
        <v>130</v>
      </c>
      <c r="BH2" s="6">
        <v>0.02847222222222222</v>
      </c>
      <c r="BI2" s="1">
        <v>0.0</v>
      </c>
      <c r="BJ2" s="1">
        <v>0.0</v>
      </c>
      <c r="BK2" s="1">
        <v>0.0</v>
      </c>
      <c r="BL2" s="1">
        <v>0.0</v>
      </c>
      <c r="BM2" s="1">
        <v>0.0</v>
      </c>
      <c r="BN2" s="1">
        <v>0.0</v>
      </c>
      <c r="BO2" s="1" t="s">
        <v>38</v>
      </c>
      <c r="BP2" s="6">
        <v>0.02847222222222222</v>
      </c>
      <c r="BQ2" s="1" t="s">
        <v>31</v>
      </c>
      <c r="BR2" s="1" t="s">
        <v>137</v>
      </c>
      <c r="BS2" s="1" t="s">
        <v>137</v>
      </c>
      <c r="BT2" s="1" t="s">
        <v>137</v>
      </c>
      <c r="BU2" s="1" t="s">
        <v>137</v>
      </c>
      <c r="BV2" s="1" t="s">
        <v>137</v>
      </c>
      <c r="BW2" s="1" t="s">
        <v>137</v>
      </c>
      <c r="BX2" s="1" t="s">
        <v>137</v>
      </c>
      <c r="BY2" s="1" t="s">
        <v>137</v>
      </c>
      <c r="BZ2" s="1" t="s">
        <v>138</v>
      </c>
    </row>
    <row r="3">
      <c r="A3" s="1">
        <v>2.0</v>
      </c>
      <c r="B3" s="2">
        <v>46158.0</v>
      </c>
      <c r="C3" s="1" t="s">
        <v>25</v>
      </c>
      <c r="D3" s="1" t="s">
        <v>31</v>
      </c>
      <c r="E3" s="1" t="s">
        <v>31</v>
      </c>
      <c r="F3" s="1" t="s">
        <v>31</v>
      </c>
      <c r="G3" s="1" t="s">
        <v>31</v>
      </c>
      <c r="H3" s="1" t="s">
        <v>31</v>
      </c>
      <c r="I3" s="1" t="s">
        <v>31</v>
      </c>
      <c r="J3" s="1" t="s">
        <v>130</v>
      </c>
      <c r="K3" s="1" t="s">
        <v>130</v>
      </c>
      <c r="L3" s="1" t="s">
        <v>31</v>
      </c>
      <c r="M3" s="1" t="s">
        <v>31</v>
      </c>
      <c r="N3" s="1" t="s">
        <v>31</v>
      </c>
      <c r="O3" s="1" t="s">
        <v>31</v>
      </c>
      <c r="P3" s="1" t="s">
        <v>31</v>
      </c>
      <c r="Q3" s="1" t="s">
        <v>31</v>
      </c>
      <c r="R3" s="1" t="s">
        <v>130</v>
      </c>
      <c r="S3" s="1" t="s">
        <v>131</v>
      </c>
      <c r="T3" s="1" t="s">
        <v>31</v>
      </c>
      <c r="U3" s="1" t="s">
        <v>31</v>
      </c>
      <c r="V3" s="1" t="s">
        <v>31</v>
      </c>
      <c r="W3" s="1" t="s">
        <v>31</v>
      </c>
      <c r="X3" s="1" t="s">
        <v>31</v>
      </c>
      <c r="Y3" s="1" t="s">
        <v>31</v>
      </c>
      <c r="Z3" s="1" t="s">
        <v>130</v>
      </c>
      <c r="AA3" s="1" t="s">
        <v>132</v>
      </c>
      <c r="AB3" s="1" t="s">
        <v>31</v>
      </c>
      <c r="AC3" s="1" t="s">
        <v>31</v>
      </c>
      <c r="AD3" s="1" t="s">
        <v>31</v>
      </c>
      <c r="AE3" s="1" t="s">
        <v>31</v>
      </c>
      <c r="AF3" s="1" t="s">
        <v>31</v>
      </c>
      <c r="AG3" s="1" t="s">
        <v>31</v>
      </c>
      <c r="AH3" s="1" t="s">
        <v>130</v>
      </c>
      <c r="AI3" s="1" t="s">
        <v>139</v>
      </c>
      <c r="AJ3" s="1" t="s">
        <v>31</v>
      </c>
      <c r="AK3" s="1" t="s">
        <v>31</v>
      </c>
      <c r="AL3" s="1" t="s">
        <v>31</v>
      </c>
      <c r="AM3" s="1" t="s">
        <v>38</v>
      </c>
      <c r="AN3" s="1" t="s">
        <v>31</v>
      </c>
      <c r="AO3" s="1" t="s">
        <v>31</v>
      </c>
      <c r="AP3" s="1" t="s">
        <v>130</v>
      </c>
      <c r="AQ3" s="1" t="s">
        <v>140</v>
      </c>
      <c r="AR3" s="1" t="s">
        <v>31</v>
      </c>
      <c r="AS3" s="1" t="s">
        <v>31</v>
      </c>
      <c r="AT3" s="1" t="s">
        <v>31</v>
      </c>
      <c r="AU3" s="1" t="s">
        <v>31</v>
      </c>
      <c r="AV3" s="1" t="s">
        <v>31</v>
      </c>
      <c r="AW3" s="1" t="s">
        <v>31</v>
      </c>
      <c r="AX3" s="1" t="s">
        <v>130</v>
      </c>
      <c r="AY3" s="1" t="s">
        <v>136</v>
      </c>
      <c r="AZ3" s="1" t="s">
        <v>31</v>
      </c>
      <c r="BA3" s="1" t="s">
        <v>31</v>
      </c>
      <c r="BB3" s="1" t="s">
        <v>31</v>
      </c>
      <c r="BC3" s="1" t="s">
        <v>31</v>
      </c>
      <c r="BD3" s="1" t="s">
        <v>31</v>
      </c>
      <c r="BE3" s="1" t="s">
        <v>31</v>
      </c>
      <c r="BF3" s="1" t="s">
        <v>130</v>
      </c>
      <c r="BG3" s="1" t="s">
        <v>130</v>
      </c>
      <c r="BH3" s="6">
        <v>0.029861111111111113</v>
      </c>
      <c r="BI3" s="1">
        <v>0.0</v>
      </c>
      <c r="BJ3" s="1">
        <v>0.0</v>
      </c>
      <c r="BK3" s="1">
        <v>0.0</v>
      </c>
      <c r="BL3" s="1">
        <v>1.0</v>
      </c>
      <c r="BM3" s="1">
        <v>0.0</v>
      </c>
      <c r="BN3" s="1">
        <v>0.0</v>
      </c>
      <c r="BO3" s="1" t="s">
        <v>38</v>
      </c>
      <c r="BP3" s="6">
        <v>0.029861111111111113</v>
      </c>
      <c r="BQ3" s="1" t="s">
        <v>31</v>
      </c>
      <c r="BR3" s="1" t="s">
        <v>137</v>
      </c>
      <c r="BS3" s="1" t="s">
        <v>137</v>
      </c>
      <c r="BT3" s="1" t="s">
        <v>137</v>
      </c>
      <c r="BU3" s="1" t="s">
        <v>137</v>
      </c>
      <c r="BV3" s="1" t="s">
        <v>137</v>
      </c>
      <c r="BW3" s="1" t="s">
        <v>137</v>
      </c>
      <c r="BX3" s="1" t="s">
        <v>137</v>
      </c>
      <c r="BY3" s="1" t="s">
        <v>141</v>
      </c>
      <c r="BZ3" s="1" t="s">
        <v>142</v>
      </c>
    </row>
    <row r="4">
      <c r="A4" s="1">
        <v>3.0</v>
      </c>
      <c r="B4" s="2">
        <v>46158.0</v>
      </c>
      <c r="C4" s="1" t="s">
        <v>25</v>
      </c>
      <c r="D4" s="1" t="s">
        <v>31</v>
      </c>
      <c r="E4" s="1" t="s">
        <v>31</v>
      </c>
      <c r="F4" s="1" t="s">
        <v>31</v>
      </c>
      <c r="G4" s="1" t="s">
        <v>31</v>
      </c>
      <c r="H4" s="1" t="s">
        <v>31</v>
      </c>
      <c r="I4" s="1" t="s">
        <v>31</v>
      </c>
      <c r="J4" s="1" t="s">
        <v>130</v>
      </c>
      <c r="K4" s="1" t="s">
        <v>130</v>
      </c>
      <c r="L4" s="1" t="s">
        <v>31</v>
      </c>
      <c r="M4" s="1" t="s">
        <v>31</v>
      </c>
      <c r="N4" s="1" t="s">
        <v>31</v>
      </c>
      <c r="O4" s="1" t="s">
        <v>31</v>
      </c>
      <c r="P4" s="1" t="s">
        <v>31</v>
      </c>
      <c r="Q4" s="1" t="s">
        <v>31</v>
      </c>
      <c r="R4" s="1" t="s">
        <v>130</v>
      </c>
      <c r="S4" s="1" t="s">
        <v>131</v>
      </c>
      <c r="T4" s="1" t="s">
        <v>31</v>
      </c>
      <c r="U4" s="1" t="s">
        <v>31</v>
      </c>
      <c r="V4" s="1" t="s">
        <v>31</v>
      </c>
      <c r="W4" s="1" t="s">
        <v>31</v>
      </c>
      <c r="X4" s="1" t="s">
        <v>31</v>
      </c>
      <c r="Y4" s="1" t="s">
        <v>31</v>
      </c>
      <c r="Z4" s="1" t="s">
        <v>130</v>
      </c>
      <c r="AA4" s="1" t="s">
        <v>132</v>
      </c>
      <c r="AB4" s="1" t="s">
        <v>31</v>
      </c>
      <c r="AC4" s="1" t="s">
        <v>31</v>
      </c>
      <c r="AD4" s="1" t="s">
        <v>31</v>
      </c>
      <c r="AE4" s="1" t="s">
        <v>31</v>
      </c>
      <c r="AF4" s="1" t="s">
        <v>31</v>
      </c>
      <c r="AG4" s="1" t="s">
        <v>31</v>
      </c>
      <c r="AH4" s="1" t="s">
        <v>143</v>
      </c>
      <c r="AI4" s="1" t="s">
        <v>144</v>
      </c>
      <c r="AJ4" s="1" t="s">
        <v>31</v>
      </c>
      <c r="AK4" s="1" t="s">
        <v>31</v>
      </c>
      <c r="AL4" s="1" t="s">
        <v>31</v>
      </c>
      <c r="AM4" s="1" t="s">
        <v>31</v>
      </c>
      <c r="AN4" s="1" t="s">
        <v>31</v>
      </c>
      <c r="AO4" s="1" t="s">
        <v>31</v>
      </c>
      <c r="AP4" s="1" t="s">
        <v>145</v>
      </c>
      <c r="AQ4" s="1" t="s">
        <v>146</v>
      </c>
      <c r="AR4" s="1" t="s">
        <v>31</v>
      </c>
      <c r="AS4" s="1" t="s">
        <v>31</v>
      </c>
      <c r="AT4" s="1" t="s">
        <v>31</v>
      </c>
      <c r="AU4" s="1" t="s">
        <v>31</v>
      </c>
      <c r="AV4" s="1" t="s">
        <v>31</v>
      </c>
      <c r="AW4" s="1" t="s">
        <v>31</v>
      </c>
      <c r="AX4" s="1" t="s">
        <v>130</v>
      </c>
      <c r="AY4" s="1" t="s">
        <v>136</v>
      </c>
      <c r="AZ4" s="1" t="s">
        <v>31</v>
      </c>
      <c r="BA4" s="1" t="s">
        <v>31</v>
      </c>
      <c r="BB4" s="1" t="s">
        <v>31</v>
      </c>
      <c r="BC4" s="1" t="s">
        <v>31</v>
      </c>
      <c r="BD4" s="1" t="s">
        <v>31</v>
      </c>
      <c r="BE4" s="1" t="s">
        <v>31</v>
      </c>
      <c r="BF4" s="1" t="s">
        <v>130</v>
      </c>
      <c r="BG4" s="1" t="s">
        <v>130</v>
      </c>
      <c r="BH4" s="6">
        <v>0.03680555555555556</v>
      </c>
      <c r="BI4" s="1">
        <v>0.0</v>
      </c>
      <c r="BJ4" s="1">
        <v>0.0</v>
      </c>
      <c r="BK4" s="1">
        <v>0.0</v>
      </c>
      <c r="BL4" s="1">
        <v>0.0</v>
      </c>
      <c r="BM4" s="1">
        <v>0.0</v>
      </c>
      <c r="BN4" s="1">
        <v>0.0</v>
      </c>
      <c r="BO4" s="1" t="s">
        <v>38</v>
      </c>
      <c r="BP4" s="6">
        <v>0.03680555555555556</v>
      </c>
      <c r="BQ4" s="1" t="s">
        <v>31</v>
      </c>
      <c r="BR4" s="1" t="s">
        <v>137</v>
      </c>
      <c r="BS4" s="1" t="s">
        <v>137</v>
      </c>
      <c r="BT4" s="1" t="s">
        <v>137</v>
      </c>
      <c r="BU4" s="1" t="s">
        <v>137</v>
      </c>
      <c r="BV4" s="1" t="s">
        <v>137</v>
      </c>
      <c r="BW4" s="1" t="s">
        <v>137</v>
      </c>
      <c r="BX4" s="1" t="s">
        <v>137</v>
      </c>
      <c r="BY4" s="1" t="s">
        <v>137</v>
      </c>
      <c r="BZ4" s="1" t="s">
        <v>147</v>
      </c>
    </row>
    <row r="5">
      <c r="A5" s="1">
        <v>4.0</v>
      </c>
      <c r="B5" s="2">
        <v>46161.0</v>
      </c>
      <c r="C5" s="1" t="s">
        <v>42</v>
      </c>
      <c r="D5" s="1" t="s">
        <v>31</v>
      </c>
      <c r="E5" s="1" t="s">
        <v>31</v>
      </c>
      <c r="F5" s="1" t="s">
        <v>31</v>
      </c>
      <c r="G5" s="1" t="s">
        <v>31</v>
      </c>
      <c r="H5" s="1" t="s">
        <v>31</v>
      </c>
      <c r="I5" s="1" t="s">
        <v>31</v>
      </c>
      <c r="J5" s="1" t="s">
        <v>130</v>
      </c>
      <c r="K5" s="1" t="s">
        <v>130</v>
      </c>
      <c r="L5" s="1" t="s">
        <v>31</v>
      </c>
      <c r="M5" s="1" t="s">
        <v>31</v>
      </c>
      <c r="N5" s="1" t="s">
        <v>31</v>
      </c>
      <c r="O5" s="1" t="s">
        <v>31</v>
      </c>
      <c r="P5" s="1" t="s">
        <v>31</v>
      </c>
      <c r="Q5" s="1" t="s">
        <v>31</v>
      </c>
      <c r="R5" s="1" t="s">
        <v>130</v>
      </c>
      <c r="S5" s="1" t="s">
        <v>131</v>
      </c>
      <c r="T5" s="1" t="s">
        <v>31</v>
      </c>
      <c r="U5" s="1" t="s">
        <v>31</v>
      </c>
      <c r="V5" s="1" t="s">
        <v>31</v>
      </c>
      <c r="W5" s="1" t="s">
        <v>31</v>
      </c>
      <c r="X5" s="1" t="s">
        <v>31</v>
      </c>
      <c r="Y5" s="1" t="s">
        <v>31</v>
      </c>
      <c r="Z5" s="1" t="s">
        <v>130</v>
      </c>
      <c r="AA5" s="1" t="s">
        <v>132</v>
      </c>
      <c r="AB5" s="1" t="s">
        <v>31</v>
      </c>
      <c r="AC5" s="1" t="s">
        <v>38</v>
      </c>
      <c r="AD5" s="1" t="s">
        <v>31</v>
      </c>
      <c r="AE5" s="1" t="s">
        <v>31</v>
      </c>
      <c r="AF5" s="1" t="s">
        <v>31</v>
      </c>
      <c r="AG5" s="1" t="s">
        <v>31</v>
      </c>
      <c r="AH5" s="1" t="s">
        <v>148</v>
      </c>
      <c r="AI5" s="1" t="s">
        <v>149</v>
      </c>
      <c r="AJ5" s="1" t="s">
        <v>31</v>
      </c>
      <c r="AK5" s="1" t="s">
        <v>31</v>
      </c>
      <c r="AL5" s="1" t="s">
        <v>31</v>
      </c>
      <c r="AM5" s="1" t="s">
        <v>31</v>
      </c>
      <c r="AN5" s="1" t="s">
        <v>31</v>
      </c>
      <c r="AO5" s="1" t="s">
        <v>31</v>
      </c>
      <c r="AP5" s="1" t="s">
        <v>150</v>
      </c>
      <c r="AQ5" s="1" t="s">
        <v>130</v>
      </c>
      <c r="AR5" s="1" t="s">
        <v>31</v>
      </c>
      <c r="AS5" s="1" t="s">
        <v>31</v>
      </c>
      <c r="AT5" s="1" t="s">
        <v>31</v>
      </c>
      <c r="AU5" s="1" t="s">
        <v>31</v>
      </c>
      <c r="AV5" s="1" t="s">
        <v>31</v>
      </c>
      <c r="AW5" s="1" t="s">
        <v>31</v>
      </c>
      <c r="AX5" s="1" t="s">
        <v>130</v>
      </c>
      <c r="AY5" s="1" t="s">
        <v>136</v>
      </c>
      <c r="AZ5" s="1" t="s">
        <v>31</v>
      </c>
      <c r="BA5" s="1" t="s">
        <v>31</v>
      </c>
      <c r="BB5" s="1" t="s">
        <v>31</v>
      </c>
      <c r="BC5" s="1" t="s">
        <v>31</v>
      </c>
      <c r="BD5" s="1" t="s">
        <v>31</v>
      </c>
      <c r="BE5" s="1" t="s">
        <v>31</v>
      </c>
      <c r="BF5" s="1" t="s">
        <v>130</v>
      </c>
      <c r="BG5" s="1" t="s">
        <v>130</v>
      </c>
      <c r="BH5" s="6">
        <v>0.05416666666666667</v>
      </c>
      <c r="BI5" s="1">
        <v>0.0</v>
      </c>
      <c r="BJ5" s="1">
        <v>1.0</v>
      </c>
      <c r="BK5" s="1">
        <v>0.0</v>
      </c>
      <c r="BL5" s="1">
        <v>0.0</v>
      </c>
      <c r="BM5" s="1">
        <v>0.0</v>
      </c>
      <c r="BN5" s="1">
        <v>0.0</v>
      </c>
      <c r="BO5" s="1" t="s">
        <v>38</v>
      </c>
      <c r="BP5" s="6">
        <v>0.05416666666666667</v>
      </c>
      <c r="BQ5" s="1" t="s">
        <v>31</v>
      </c>
      <c r="BR5" s="1" t="s">
        <v>137</v>
      </c>
      <c r="BS5" s="1" t="s">
        <v>137</v>
      </c>
      <c r="BT5" s="1" t="s">
        <v>137</v>
      </c>
      <c r="BU5" s="1" t="s">
        <v>137</v>
      </c>
      <c r="BV5" s="1" t="s">
        <v>137</v>
      </c>
      <c r="BW5" s="1" t="s">
        <v>137</v>
      </c>
      <c r="BX5" s="1" t="s">
        <v>137</v>
      </c>
      <c r="BY5" s="1" t="s">
        <v>137</v>
      </c>
      <c r="BZ5" s="1" t="s">
        <v>151</v>
      </c>
    </row>
    <row r="6">
      <c r="A6" s="1">
        <v>5.0</v>
      </c>
      <c r="B6" s="2">
        <v>46161.0</v>
      </c>
      <c r="C6" s="1" t="s">
        <v>42</v>
      </c>
      <c r="D6" s="1" t="s">
        <v>31</v>
      </c>
      <c r="E6" s="1" t="s">
        <v>38</v>
      </c>
      <c r="F6" s="1" t="s">
        <v>31</v>
      </c>
      <c r="G6" s="1" t="s">
        <v>31</v>
      </c>
      <c r="H6" s="1" t="s">
        <v>31</v>
      </c>
      <c r="I6" s="1" t="s">
        <v>31</v>
      </c>
      <c r="J6" s="1" t="s">
        <v>130</v>
      </c>
      <c r="K6" s="1" t="s">
        <v>130</v>
      </c>
      <c r="L6" s="1" t="s">
        <v>31</v>
      </c>
      <c r="M6" s="1" t="s">
        <v>31</v>
      </c>
      <c r="N6" s="1" t="s">
        <v>31</v>
      </c>
      <c r="O6" s="1" t="s">
        <v>31</v>
      </c>
      <c r="P6" s="1" t="s">
        <v>31</v>
      </c>
      <c r="Q6" s="1" t="s">
        <v>31</v>
      </c>
      <c r="R6" s="1" t="s">
        <v>130</v>
      </c>
      <c r="S6" s="1" t="s">
        <v>131</v>
      </c>
      <c r="T6" s="1" t="s">
        <v>31</v>
      </c>
      <c r="U6" s="1" t="s">
        <v>31</v>
      </c>
      <c r="V6" s="1" t="s">
        <v>31</v>
      </c>
      <c r="W6" s="1" t="s">
        <v>31</v>
      </c>
      <c r="X6" s="1" t="s">
        <v>31</v>
      </c>
      <c r="Y6" s="1" t="s">
        <v>31</v>
      </c>
      <c r="Z6" s="1" t="s">
        <v>130</v>
      </c>
      <c r="AA6" s="1" t="s">
        <v>152</v>
      </c>
      <c r="AB6" s="1" t="s">
        <v>31</v>
      </c>
      <c r="AC6" s="1" t="s">
        <v>31</v>
      </c>
      <c r="AD6" s="1" t="s">
        <v>31</v>
      </c>
      <c r="AE6" s="1" t="s">
        <v>31</v>
      </c>
      <c r="AF6" s="1" t="s">
        <v>31</v>
      </c>
      <c r="AG6" s="1" t="s">
        <v>31</v>
      </c>
      <c r="AH6" s="1" t="s">
        <v>130</v>
      </c>
      <c r="AI6" s="1" t="s">
        <v>130</v>
      </c>
      <c r="AJ6" s="1" t="s">
        <v>31</v>
      </c>
      <c r="AK6" s="1" t="s">
        <v>31</v>
      </c>
      <c r="AL6" s="1" t="s">
        <v>31</v>
      </c>
      <c r="AM6" s="1" t="s">
        <v>31</v>
      </c>
      <c r="AN6" s="1" t="s">
        <v>31</v>
      </c>
      <c r="AO6" s="1" t="s">
        <v>31</v>
      </c>
      <c r="AP6" s="1" t="s">
        <v>130</v>
      </c>
      <c r="AQ6" s="1" t="s">
        <v>130</v>
      </c>
      <c r="AR6" s="1" t="s">
        <v>31</v>
      </c>
      <c r="AS6" s="1" t="s">
        <v>31</v>
      </c>
      <c r="AT6" s="1" t="s">
        <v>31</v>
      </c>
      <c r="AU6" s="1" t="s">
        <v>31</v>
      </c>
      <c r="AV6" s="1" t="s">
        <v>31</v>
      </c>
      <c r="AW6" s="1" t="s">
        <v>31</v>
      </c>
      <c r="AX6" s="1" t="s">
        <v>130</v>
      </c>
      <c r="AY6" s="1" t="s">
        <v>136</v>
      </c>
      <c r="AZ6" s="1" t="s">
        <v>31</v>
      </c>
      <c r="BA6" s="1" t="s">
        <v>31</v>
      </c>
      <c r="BB6" s="1" t="s">
        <v>31</v>
      </c>
      <c r="BC6" s="1" t="s">
        <v>31</v>
      </c>
      <c r="BD6" s="1" t="s">
        <v>31</v>
      </c>
      <c r="BE6" s="1" t="s">
        <v>31</v>
      </c>
      <c r="BF6" s="1" t="s">
        <v>130</v>
      </c>
      <c r="BG6" s="1" t="s">
        <v>130</v>
      </c>
      <c r="BH6" s="6">
        <v>0.04861111111111111</v>
      </c>
      <c r="BI6" s="1">
        <v>0.0</v>
      </c>
      <c r="BJ6" s="1">
        <v>1.0</v>
      </c>
      <c r="BK6" s="1">
        <v>0.0</v>
      </c>
      <c r="BL6" s="1">
        <v>0.0</v>
      </c>
      <c r="BM6" s="1">
        <v>0.0</v>
      </c>
      <c r="BN6" s="1">
        <v>0.0</v>
      </c>
      <c r="BO6" s="1" t="s">
        <v>38</v>
      </c>
      <c r="BP6" s="6">
        <v>0.04861111111111111</v>
      </c>
      <c r="BQ6" s="1" t="s">
        <v>31</v>
      </c>
      <c r="BR6" s="1" t="s">
        <v>137</v>
      </c>
      <c r="BS6" s="1" t="s">
        <v>137</v>
      </c>
      <c r="BT6" s="1" t="s">
        <v>137</v>
      </c>
      <c r="BU6" s="1" t="s">
        <v>137</v>
      </c>
      <c r="BV6" s="1" t="s">
        <v>137</v>
      </c>
      <c r="BW6" s="1" t="s">
        <v>137</v>
      </c>
      <c r="BX6" s="1" t="s">
        <v>137</v>
      </c>
      <c r="BY6" s="1" t="s">
        <v>137</v>
      </c>
      <c r="BZ6" s="1" t="s">
        <v>153</v>
      </c>
    </row>
    <row r="10">
      <c r="A10" s="7" t="s">
        <v>154</v>
      </c>
      <c r="B10" s="7" t="s">
        <v>155</v>
      </c>
      <c r="D10" s="8" t="s">
        <v>156</v>
      </c>
      <c r="E10" s="8" t="s">
        <v>157</v>
      </c>
    </row>
    <row r="11">
      <c r="A11" s="9" t="s">
        <v>158</v>
      </c>
      <c r="B11" s="10" t="s">
        <v>159</v>
      </c>
      <c r="D11" s="11" t="s">
        <v>160</v>
      </c>
      <c r="E11" s="12">
        <v>90.0</v>
      </c>
    </row>
    <row r="12">
      <c r="A12" s="7" t="s">
        <v>161</v>
      </c>
      <c r="B12" s="13" t="s">
        <v>162</v>
      </c>
      <c r="D12" s="8" t="s">
        <v>137</v>
      </c>
      <c r="E12" s="14" t="s">
        <v>163</v>
      </c>
    </row>
    <row r="13">
      <c r="A13" s="9" t="s">
        <v>164</v>
      </c>
      <c r="B13" s="10" t="s">
        <v>165</v>
      </c>
      <c r="D13" s="11" t="s">
        <v>166</v>
      </c>
      <c r="E13" s="15" t="s">
        <v>167</v>
      </c>
    </row>
    <row r="14">
      <c r="A14" s="7" t="s">
        <v>168</v>
      </c>
      <c r="B14" s="13" t="s">
        <v>169</v>
      </c>
      <c r="D14" s="8" t="s">
        <v>170</v>
      </c>
      <c r="E14" s="14" t="s">
        <v>171</v>
      </c>
    </row>
    <row r="15">
      <c r="A15" s="9" t="s">
        <v>172</v>
      </c>
      <c r="B15" s="10" t="s">
        <v>173</v>
      </c>
      <c r="D15" s="11" t="s">
        <v>174</v>
      </c>
      <c r="E15" s="15" t="s">
        <v>175</v>
      </c>
    </row>
    <row r="16">
      <c r="A16" s="7" t="s">
        <v>176</v>
      </c>
      <c r="B16" s="13" t="s">
        <v>177</v>
      </c>
      <c r="D16" s="8" t="s">
        <v>178</v>
      </c>
      <c r="E16" s="14" t="s">
        <v>179</v>
      </c>
    </row>
    <row r="17">
      <c r="A17" s="1"/>
    </row>
    <row r="19">
      <c r="A19" s="1" t="s">
        <v>180</v>
      </c>
      <c r="B19" s="1" t="s">
        <v>181</v>
      </c>
    </row>
    <row r="20">
      <c r="A20" s="1" t="s">
        <v>182</v>
      </c>
      <c r="B20" s="1" t="s">
        <v>183</v>
      </c>
    </row>
    <row r="21">
      <c r="A21" s="1" t="s">
        <v>184</v>
      </c>
      <c r="B21" s="1" t="s">
        <v>185</v>
      </c>
    </row>
    <row r="22">
      <c r="A22" s="1" t="s">
        <v>186</v>
      </c>
      <c r="B22" s="1" t="s">
        <v>187</v>
      </c>
    </row>
    <row r="23">
      <c r="A23" s="1" t="s">
        <v>188</v>
      </c>
      <c r="B23" s="1" t="s">
        <v>189</v>
      </c>
    </row>
    <row r="24">
      <c r="A24" s="1" t="s">
        <v>190</v>
      </c>
      <c r="B24" s="1" t="s">
        <v>191</v>
      </c>
    </row>
    <row r="25">
      <c r="A25" s="1" t="s">
        <v>192</v>
      </c>
      <c r="B25" s="1" t="s">
        <v>193</v>
      </c>
    </row>
  </sheetData>
  <drawing r:id="rId1"/>
</worksheet>
</file>